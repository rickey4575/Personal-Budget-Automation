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2340" windowWidth="29040" windowHeight="15720" tabRatio="600" firstSheet="0" activeTab="2" autoFilterDateGrouping="1"/>
  </bookViews>
  <sheets>
    <sheet name="Transactions" sheetId="1" state="visible" r:id="rId1"/>
    <sheet name="Budget" sheetId="2" state="visible" r:id="rId2"/>
    <sheet name="Dashboard" sheetId="3" state="visible" r:id="rId3"/>
    <sheet name="Uncategorized" sheetId="4" state="visible" r:id="rId4"/>
    <sheet name="Periods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family val="2"/>
      <b val="1"/>
      <color theme="0"/>
      <sz val="11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49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6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pane ySplit="1" topLeftCell="A2" activePane="bottomLeft" state="frozen"/>
      <selection pane="bottomLeft" activeCell="M7" sqref="M7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1" customWidth="1" min="4" max="4"/>
    <col width="10" customWidth="1" min="5" max="5"/>
  </cols>
  <sheetData>
    <row r="1" ht="18" customHeight="1">
      <c r="A1" s="16" t="inlineStr">
        <is>
          <t>Date</t>
        </is>
      </c>
      <c r="B1" s="16" t="inlineStr">
        <is>
          <t>Description</t>
        </is>
      </c>
      <c r="C1" s="16" t="inlineStr">
        <is>
          <t>Amount</t>
        </is>
      </c>
      <c r="D1" s="16" t="inlineStr">
        <is>
          <t>Category</t>
        </is>
      </c>
      <c r="E1" s="16" t="inlineStr">
        <is>
          <t>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2"/>
  </cols>
  <sheetData>
    <row r="1" ht="18" customHeight="1">
      <c r="A1" s="1" t="inlineStr">
        <is>
          <t>Category</t>
        </is>
      </c>
      <c r="B1" s="1" t="inlineStr">
        <is>
          <t>Monthly Budget</t>
        </is>
      </c>
    </row>
    <row r="2">
      <c r="A2" s="2" t="inlineStr">
        <is>
          <t>Rent/Mortgage</t>
        </is>
      </c>
      <c r="B2" s="3" t="n">
        <v>0</v>
      </c>
    </row>
    <row r="3">
      <c r="A3" s="2" t="inlineStr">
        <is>
          <t>Utilities</t>
        </is>
      </c>
      <c r="B3" s="3" t="n">
        <v>0</v>
      </c>
    </row>
    <row r="4">
      <c r="A4" s="2" t="inlineStr">
        <is>
          <t>Internet/Phone</t>
        </is>
      </c>
      <c r="B4" s="3" t="n">
        <v>0</v>
      </c>
    </row>
    <row r="5">
      <c r="A5" s="2" t="inlineStr">
        <is>
          <t>Subscriptions</t>
        </is>
      </c>
      <c r="B5" s="3" t="n">
        <v>0</v>
      </c>
    </row>
    <row r="6">
      <c r="A6" s="2" t="inlineStr">
        <is>
          <t>Insurance</t>
        </is>
      </c>
      <c r="B6" s="3" t="n">
        <v>0</v>
      </c>
    </row>
    <row r="7">
      <c r="A7" s="2" t="inlineStr">
        <is>
          <t>Groceries</t>
        </is>
      </c>
      <c r="B7" s="3" t="n">
        <v>0</v>
      </c>
    </row>
    <row r="8">
      <c r="A8" s="2" t="inlineStr">
        <is>
          <t>Eating Out</t>
        </is>
      </c>
      <c r="B8" s="3" t="n">
        <v>0</v>
      </c>
    </row>
    <row r="9">
      <c r="A9" s="2" t="inlineStr">
        <is>
          <t>Transport</t>
        </is>
      </c>
      <c r="B9" s="3" t="n">
        <v>0</v>
      </c>
    </row>
    <row r="10">
      <c r="A10" s="2" t="inlineStr">
        <is>
          <t>Shopping</t>
        </is>
      </c>
      <c r="B10" s="3" t="n">
        <v>0</v>
      </c>
    </row>
    <row r="11">
      <c r="A11" s="2" t="inlineStr">
        <is>
          <t>Health</t>
        </is>
      </c>
      <c r="B11" s="3" t="n">
        <v>0</v>
      </c>
    </row>
    <row r="12">
      <c r="A12" s="2" t="inlineStr">
        <is>
          <t>Debt Payment</t>
        </is>
      </c>
      <c r="B12" s="3" t="n">
        <v>0</v>
      </c>
    </row>
    <row r="13">
      <c r="A13" s="2" t="inlineStr">
        <is>
          <t>Savings</t>
        </is>
      </c>
      <c r="B13" s="3" t="n">
        <v>0</v>
      </c>
    </row>
    <row r="14">
      <c r="A14" s="2" t="inlineStr">
        <is>
          <t>Fees</t>
        </is>
      </c>
      <c r="B14" s="3" t="n">
        <v>0</v>
      </c>
    </row>
    <row r="15">
      <c r="A15" s="2" t="inlineStr">
        <is>
          <t>Misc</t>
        </is>
      </c>
      <c r="B15" s="3" t="n">
        <v>0</v>
      </c>
    </row>
    <row r="16">
      <c r="A16" t="inlineStr">
        <is>
          <t>Clothing</t>
        </is>
      </c>
      <c r="B16" t="n">
        <v>0</v>
      </c>
    </row>
    <row r="17">
      <c r="A17" t="inlineStr">
        <is>
          <t>Home</t>
        </is>
      </c>
      <c r="B17" t="n">
        <v>0</v>
      </c>
    </row>
    <row r="18">
      <c r="A18" t="inlineStr">
        <is>
          <t>Personal Care</t>
        </is>
      </c>
      <c r="B18" t="n">
        <v>0</v>
      </c>
    </row>
    <row r="19">
      <c r="A19" t="inlineStr">
        <is>
          <t>Travel</t>
        </is>
      </c>
      <c r="B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5"/>
  </cols>
  <sheetData>
    <row r="1">
      <c r="A1" s="8" t="inlineStr">
        <is>
          <t>Selected Period:</t>
        </is>
      </c>
      <c r="B1" s="14" t="inlineStr">
        <is>
          <t>All</t>
        </is>
      </c>
      <c r="E1" s="15" t="inlineStr">
        <is>
          <t>Use the dropdown in B1 to choose a month or All</t>
        </is>
      </c>
    </row>
    <row r="3">
      <c r="A3" s="9" t="inlineStr">
        <is>
          <t>Key Metrics</t>
        </is>
      </c>
      <c r="B3" s="9" t="n"/>
      <c r="C3" s="9" t="n"/>
      <c r="D3" s="9" t="n"/>
      <c r="E3" s="9" t="n"/>
    </row>
    <row r="4">
      <c r="A4" s="4" t="inlineStr">
        <is>
          <t>Total Income</t>
        </is>
      </c>
      <c r="B4" s="5">
        <f>IF($B$1="All",SUMIFS(Transactions!$C:$C,Transactions!$C:$C,"&gt;0",Transactions!$D:$D,"&lt;&gt;Transfers"),SUMIFS(Transactions!$C:$C,Transactions!$E:$E,$B$1,Transactions!$C:$C,"&gt;0",Transactions!$D:$D,"&lt;&gt;Transfers"))</f>
        <v/>
      </c>
    </row>
    <row r="5">
      <c r="A5" s="4" t="inlineStr">
        <is>
          <t>Total Spending</t>
        </is>
      </c>
      <c r="B5" s="5">
        <f>IF($B$1="All",ABS(SUMIFS(Transactions!$C:$C,Transactions!$C:$C,"&lt;0",Transactions!$D:$D,"&lt;&gt;Transfers")),ABS(SUMIFS(Transactions!$C:$C,Transactions!$E:$E,$B$1,Transactions!$C:$C,"&lt;0",Transactions!$D:$D,"&lt;&gt;Transfers")))</f>
        <v/>
      </c>
    </row>
    <row r="6">
      <c r="A6" s="4" t="inlineStr">
        <is>
          <t>Net Cashflow</t>
        </is>
      </c>
      <c r="B6" s="5">
        <f>B4-B5</f>
        <v/>
      </c>
    </row>
    <row r="7">
      <c r="A7" s="4" t="inlineStr">
        <is>
          <t>Savings Rate</t>
        </is>
      </c>
      <c r="B7" s="6">
        <f>IFERROR(B6/B4,0)</f>
        <v/>
      </c>
    </row>
    <row r="9">
      <c r="A9" s="10" t="inlineStr">
        <is>
          <t>Review</t>
        </is>
      </c>
      <c r="B9" s="10" t="n"/>
      <c r="C9" s="10" t="n"/>
      <c r="D9" s="10" t="n"/>
      <c r="E9" s="10" t="n"/>
    </row>
    <row r="10">
      <c r="A10" t="inlineStr">
        <is>
          <t>Uncategorized Spend</t>
        </is>
      </c>
      <c r="B10">
        <f>IF($B$1="All",ABS(SUMIFS(Transactions!$C:$C,Transactions!$C:$C,"&lt;0",Transactions!$D:$D,"Uncategorized")),ABS(SUMIFS(Transactions!$C:$C,Transactions!$E:$E,$B$1,Transactions!$C:$C,"&lt;0",Transactions!$D:$D,"Uncategorized")))</f>
        <v/>
      </c>
    </row>
    <row r="11">
      <c r="A11" t="inlineStr">
        <is>
          <t>Uncategorized Count</t>
        </is>
      </c>
      <c r="B11">
        <f>IF($B$1="All",COUNTIFS(Transactions!$C:$C,"&lt;0",Transactions!$D:$D,"Uncategorized"),COUNTIFS(Transactions!$E:$E,$B$1,Transactions!$C:$C,"&lt;0",Transactions!$D:$D,"Uncategorized"))</f>
        <v/>
      </c>
    </row>
    <row r="13">
      <c r="A13" s="11" t="inlineStr">
        <is>
          <t>Transfers</t>
        </is>
      </c>
      <c r="B13" s="11" t="n"/>
      <c r="C13" s="11" t="n"/>
      <c r="D13" s="11" t="n"/>
      <c r="E13" s="11" t="n"/>
    </row>
    <row r="14">
      <c r="A14" t="inlineStr">
        <is>
          <t>Transfer In</t>
        </is>
      </c>
      <c r="B14">
        <f>IF($B$1="All",SUMIFS(Transactions!$C:$C,Transactions!$C:$C,"&gt;0",Transactions!$D:$D,"Transfers"),SUMIFS(Transactions!$C:$C,Transactions!$E:$E,$B$1,Transactions!$C:$C,"&gt;0",Transactions!$D:$D,"Transfers"))</f>
        <v/>
      </c>
    </row>
    <row r="15">
      <c r="A15" t="inlineStr">
        <is>
          <t>Transfer Out</t>
        </is>
      </c>
      <c r="B15">
        <f>IF($B$1="All",ABS(SUMIFS(Transactions!$C:$C,Transactions!$C:$C,"&lt;0",Transactions!$D:$D,"Transfers")),ABS(SUMIFS(Transactions!$C:$C,Transactions!$E:$E,$B$1,Transactions!$C:$C,"&lt;0",Transactions!$D:$D,"Transfers")))</f>
        <v/>
      </c>
    </row>
    <row r="16">
      <c r="A16" t="inlineStr">
        <is>
          <t>Net Transfers</t>
        </is>
      </c>
      <c r="B16">
        <f>B14-B15</f>
        <v/>
      </c>
    </row>
    <row r="18">
      <c r="A18" s="12" t="inlineStr">
        <is>
          <t>Budget vs Actual (Spending)</t>
        </is>
      </c>
      <c r="B18" s="12" t="n"/>
      <c r="C18" s="12" t="n"/>
      <c r="D18" s="12" t="n"/>
      <c r="E18" s="12" t="n"/>
    </row>
    <row r="19">
      <c r="A19" s="13" t="inlineStr">
        <is>
          <t>Category</t>
        </is>
      </c>
      <c r="B19" s="13" t="inlineStr">
        <is>
          <t>Budget</t>
        </is>
      </c>
      <c r="C19" s="13" t="inlineStr">
        <is>
          <t>Actual</t>
        </is>
      </c>
      <c r="D19" s="13" t="inlineStr">
        <is>
          <t>Difference</t>
        </is>
      </c>
      <c r="E19" s="13" t="inlineStr">
        <is>
          <t>Status</t>
        </is>
      </c>
    </row>
    <row r="20">
      <c r="A20" t="inlineStr">
        <is>
          <t>Rent/Mortgage</t>
        </is>
      </c>
      <c r="B20">
        <f>IFERROR(VLOOKUP(A20,Budget!$A:$B,2,FALSE),0)</f>
        <v/>
      </c>
      <c r="C20">
        <f>IF($B$1="All",ABS(SUMIFS(Transactions!$C:$C,Transactions!$D:$D,A20,Transactions!$C:$C,"&lt;0")),ABS(SUMIFS(Transactions!$C:$C,Transactions!$D:$D,A20,Transactions!$E:$E,$B$1,Transactions!$C:$C,"&lt;0")))</f>
        <v/>
      </c>
      <c r="D20">
        <f>B20-C20</f>
        <v/>
      </c>
      <c r="E20">
        <f>IF(D20&lt;0,"Over Budget","OK")</f>
        <v/>
      </c>
    </row>
    <row r="21">
      <c r="A21" t="inlineStr">
        <is>
          <t>Utilities</t>
        </is>
      </c>
      <c r="B21">
        <f>IFERROR(VLOOKUP(A21,Budget!$A:$B,2,FALSE),0)</f>
        <v/>
      </c>
      <c r="C21">
        <f>IF($B$1="All",ABS(SUMIFS(Transactions!$C:$C,Transactions!$D:$D,A21,Transactions!$C:$C,"&lt;0")),ABS(SUMIFS(Transactions!$C:$C,Transactions!$D:$D,A21,Transactions!$E:$E,$B$1,Transactions!$C:$C,"&lt;0")))</f>
        <v/>
      </c>
      <c r="D21">
        <f>B21-C21</f>
        <v/>
      </c>
      <c r="E21">
        <f>IF(D21&lt;0,"Over Budget","OK")</f>
        <v/>
      </c>
    </row>
    <row r="22">
      <c r="A22" t="inlineStr">
        <is>
          <t>Internet/Phone</t>
        </is>
      </c>
      <c r="B22">
        <f>IFERROR(VLOOKUP(A22,Budget!$A:$B,2,FALSE),0)</f>
        <v/>
      </c>
      <c r="C22">
        <f>IF($B$1="All",ABS(SUMIFS(Transactions!$C:$C,Transactions!$D:$D,A22,Transactions!$C:$C,"&lt;0")),ABS(SUMIFS(Transactions!$C:$C,Transactions!$D:$D,A22,Transactions!$E:$E,$B$1,Transactions!$C:$C,"&lt;0")))</f>
        <v/>
      </c>
      <c r="D22">
        <f>B22-C22</f>
        <v/>
      </c>
      <c r="E22">
        <f>IF(D22&lt;0,"Over Budget","OK")</f>
        <v/>
      </c>
    </row>
    <row r="23">
      <c r="A23" t="inlineStr">
        <is>
          <t>Subscriptions</t>
        </is>
      </c>
      <c r="B23">
        <f>IFERROR(VLOOKUP(A23,Budget!$A:$B,2,FALSE),0)</f>
        <v/>
      </c>
      <c r="C23">
        <f>IF($B$1="All",ABS(SUMIFS(Transactions!$C:$C,Transactions!$D:$D,A23,Transactions!$C:$C,"&lt;0")),ABS(SUMIFS(Transactions!$C:$C,Transactions!$D:$D,A23,Transactions!$E:$E,$B$1,Transactions!$C:$C,"&lt;0")))</f>
        <v/>
      </c>
      <c r="D23">
        <f>B23-C23</f>
        <v/>
      </c>
      <c r="E23">
        <f>IF(D23&lt;0,"Over Budget","OK")</f>
        <v/>
      </c>
    </row>
    <row r="24">
      <c r="A24" t="inlineStr">
        <is>
          <t>Insurance</t>
        </is>
      </c>
      <c r="B24">
        <f>IFERROR(VLOOKUP(A24,Budget!$A:$B,2,FALSE),0)</f>
        <v/>
      </c>
      <c r="C24">
        <f>IF($B$1="All",ABS(SUMIFS(Transactions!$C:$C,Transactions!$D:$D,A24,Transactions!$C:$C,"&lt;0")),ABS(SUMIFS(Transactions!$C:$C,Transactions!$D:$D,A24,Transactions!$E:$E,$B$1,Transactions!$C:$C,"&lt;0")))</f>
        <v/>
      </c>
      <c r="D24">
        <f>B24-C24</f>
        <v/>
      </c>
      <c r="E24">
        <f>IF(D24&lt;0,"Over Budget","OK")</f>
        <v/>
      </c>
    </row>
    <row r="25">
      <c r="A25" t="inlineStr">
        <is>
          <t>Groceries</t>
        </is>
      </c>
      <c r="B25">
        <f>IFERROR(VLOOKUP(A25,Budget!$A:$B,2,FALSE),0)</f>
        <v/>
      </c>
      <c r="C25">
        <f>IF($B$1="All",ABS(SUMIFS(Transactions!$C:$C,Transactions!$D:$D,A25,Transactions!$C:$C,"&lt;0")),ABS(SUMIFS(Transactions!$C:$C,Transactions!$D:$D,A25,Transactions!$E:$E,$B$1,Transactions!$C:$C,"&lt;0")))</f>
        <v/>
      </c>
      <c r="D25">
        <f>B25-C25</f>
        <v/>
      </c>
      <c r="E25">
        <f>IF(D25&lt;0,"Over Budget","OK")</f>
        <v/>
      </c>
    </row>
    <row r="26">
      <c r="A26" t="inlineStr">
        <is>
          <t>Eating Out</t>
        </is>
      </c>
      <c r="B26">
        <f>IFERROR(VLOOKUP(A26,Budget!$A:$B,2,FALSE),0)</f>
        <v/>
      </c>
      <c r="C26">
        <f>IF($B$1="All",ABS(SUMIFS(Transactions!$C:$C,Transactions!$D:$D,A26,Transactions!$C:$C,"&lt;0")),ABS(SUMIFS(Transactions!$C:$C,Transactions!$D:$D,A26,Transactions!$E:$E,$B$1,Transactions!$C:$C,"&lt;0")))</f>
        <v/>
      </c>
      <c r="D26">
        <f>B26-C26</f>
        <v/>
      </c>
      <c r="E26">
        <f>IF(D26&lt;0,"Over Budget","OK")</f>
        <v/>
      </c>
    </row>
    <row r="27">
      <c r="A27" t="inlineStr">
        <is>
          <t>Transport</t>
        </is>
      </c>
      <c r="B27">
        <f>IFERROR(VLOOKUP(A27,Budget!$A:$B,2,FALSE),0)</f>
        <v/>
      </c>
      <c r="C27">
        <f>IF($B$1="All",ABS(SUMIFS(Transactions!$C:$C,Transactions!$D:$D,A27,Transactions!$C:$C,"&lt;0")),ABS(SUMIFS(Transactions!$C:$C,Transactions!$D:$D,A27,Transactions!$E:$E,$B$1,Transactions!$C:$C,"&lt;0")))</f>
        <v/>
      </c>
      <c r="D27">
        <f>B27-C27</f>
        <v/>
      </c>
      <c r="E27">
        <f>IF(D27&lt;0,"Over Budget","OK")</f>
        <v/>
      </c>
    </row>
    <row r="28">
      <c r="A28" t="inlineStr">
        <is>
          <t>Shopping</t>
        </is>
      </c>
      <c r="B28">
        <f>IFERROR(VLOOKUP(A28,Budget!$A:$B,2,FALSE),0)</f>
        <v/>
      </c>
      <c r="C28">
        <f>IF($B$1="All",ABS(SUMIFS(Transactions!$C:$C,Transactions!$D:$D,A28,Transactions!$C:$C,"&lt;0")),ABS(SUMIFS(Transactions!$C:$C,Transactions!$D:$D,A28,Transactions!$E:$E,$B$1,Transactions!$C:$C,"&lt;0")))</f>
        <v/>
      </c>
      <c r="D28">
        <f>B28-C28</f>
        <v/>
      </c>
      <c r="E28">
        <f>IF(D28&lt;0,"Over Budget","OK")</f>
        <v/>
      </c>
    </row>
    <row r="29">
      <c r="A29" t="inlineStr">
        <is>
          <t>Health</t>
        </is>
      </c>
      <c r="B29">
        <f>IFERROR(VLOOKUP(A29,Budget!$A:$B,2,FALSE),0)</f>
        <v/>
      </c>
      <c r="C29">
        <f>IF($B$1="All",ABS(SUMIFS(Transactions!$C:$C,Transactions!$D:$D,A29,Transactions!$C:$C,"&lt;0")),ABS(SUMIFS(Transactions!$C:$C,Transactions!$D:$D,A29,Transactions!$E:$E,$B$1,Transactions!$C:$C,"&lt;0")))</f>
        <v/>
      </c>
      <c r="D29">
        <f>B29-C29</f>
        <v/>
      </c>
      <c r="E29">
        <f>IF(D29&lt;0,"Over Budget","OK")</f>
        <v/>
      </c>
    </row>
    <row r="30">
      <c r="A30" t="inlineStr">
        <is>
          <t>Debt Payment</t>
        </is>
      </c>
      <c r="B30">
        <f>IFERROR(VLOOKUP(A30,Budget!$A:$B,2,FALSE),0)</f>
        <v/>
      </c>
      <c r="C30">
        <f>IF($B$1="All",ABS(SUMIFS(Transactions!$C:$C,Transactions!$D:$D,A30,Transactions!$C:$C,"&lt;0")),ABS(SUMIFS(Transactions!$C:$C,Transactions!$D:$D,A30,Transactions!$E:$E,$B$1,Transactions!$C:$C,"&lt;0")))</f>
        <v/>
      </c>
      <c r="D30">
        <f>B30-C30</f>
        <v/>
      </c>
      <c r="E30">
        <f>IF(D30&lt;0,"Over Budget","OK")</f>
        <v/>
      </c>
    </row>
    <row r="31">
      <c r="A31" t="inlineStr">
        <is>
          <t>Savings</t>
        </is>
      </c>
      <c r="B31">
        <f>IFERROR(VLOOKUP(A31,Budget!$A:$B,2,FALSE),0)</f>
        <v/>
      </c>
      <c r="C31">
        <f>IF($B$1="All",ABS(SUMIFS(Transactions!$C:$C,Transactions!$D:$D,A31,Transactions!$C:$C,"&lt;0")),ABS(SUMIFS(Transactions!$C:$C,Transactions!$D:$D,A31,Transactions!$E:$E,$B$1,Transactions!$C:$C,"&lt;0")))</f>
        <v/>
      </c>
      <c r="D31">
        <f>B31-C31</f>
        <v/>
      </c>
      <c r="E31">
        <f>IF(D31&lt;0,"Over Budget","OK")</f>
        <v/>
      </c>
    </row>
    <row r="32">
      <c r="A32" t="inlineStr">
        <is>
          <t>Fees</t>
        </is>
      </c>
      <c r="B32">
        <f>IFERROR(VLOOKUP(A32,Budget!$A:$B,2,FALSE),0)</f>
        <v/>
      </c>
      <c r="C32">
        <f>IF($B$1="All",ABS(SUMIFS(Transactions!$C:$C,Transactions!$D:$D,A32,Transactions!$C:$C,"&lt;0")),ABS(SUMIFS(Transactions!$C:$C,Transactions!$D:$D,A32,Transactions!$E:$E,$B$1,Transactions!$C:$C,"&lt;0")))</f>
        <v/>
      </c>
      <c r="D32">
        <f>B32-C32</f>
        <v/>
      </c>
      <c r="E32">
        <f>IF(D32&lt;0,"Over Budget","OK")</f>
        <v/>
      </c>
    </row>
    <row r="33">
      <c r="A33" t="inlineStr">
        <is>
          <t>Misc</t>
        </is>
      </c>
      <c r="B33">
        <f>IFERROR(VLOOKUP(A33,Budget!$A:$B,2,FALSE),0)</f>
        <v/>
      </c>
      <c r="C33">
        <f>IF($B$1="All",ABS(SUMIFS(Transactions!$C:$C,Transactions!$D:$D,A33,Transactions!$C:$C,"&lt;0")),ABS(SUMIFS(Transactions!$C:$C,Transactions!$D:$D,A33,Transactions!$E:$E,$B$1,Transactions!$C:$C,"&lt;0")))</f>
        <v/>
      </c>
      <c r="D33">
        <f>B33-C33</f>
        <v/>
      </c>
      <c r="E33">
        <f>IF(D33&lt;0,"Over Budget","OK")</f>
        <v/>
      </c>
    </row>
    <row r="34">
      <c r="A34" t="inlineStr">
        <is>
          <t>Clothing</t>
        </is>
      </c>
      <c r="B34">
        <f>IFERROR(VLOOKUP(A34,Budget!$A:$B,2,FALSE),0)</f>
        <v/>
      </c>
      <c r="C34">
        <f>IF($B$1="All",ABS(SUMIFS(Transactions!$C:$C,Transactions!$D:$D,A34,Transactions!$C:$C,"&lt;0")),ABS(SUMIFS(Transactions!$C:$C,Transactions!$D:$D,A34,Transactions!$E:$E,$B$1,Transactions!$C:$C,"&lt;0")))</f>
        <v/>
      </c>
      <c r="D34">
        <f>B34-C34</f>
        <v/>
      </c>
      <c r="E34">
        <f>IF(D34&lt;0,"Over Budget","OK")</f>
        <v/>
      </c>
    </row>
    <row r="35">
      <c r="A35" t="inlineStr">
        <is>
          <t>Home</t>
        </is>
      </c>
      <c r="B35">
        <f>IFERROR(VLOOKUP(A35,Budget!$A:$B,2,FALSE),0)</f>
        <v/>
      </c>
      <c r="C35">
        <f>IF($B$1="All",ABS(SUMIFS(Transactions!$C:$C,Transactions!$D:$D,A35,Transactions!$C:$C,"&lt;0")),ABS(SUMIFS(Transactions!$C:$C,Transactions!$D:$D,A35,Transactions!$E:$E,$B$1,Transactions!$C:$C,"&lt;0")))</f>
        <v/>
      </c>
      <c r="D35">
        <f>B35-C35</f>
        <v/>
      </c>
      <c r="E35">
        <f>IF(D35&lt;0,"Over Budget","OK")</f>
        <v/>
      </c>
    </row>
    <row r="36">
      <c r="A36" t="inlineStr">
        <is>
          <t>Personal Care</t>
        </is>
      </c>
      <c r="B36">
        <f>IFERROR(VLOOKUP(A36,Budget!$A:$B,2,FALSE),0)</f>
        <v/>
      </c>
      <c r="C36">
        <f>IF($B$1="All",ABS(SUMIFS(Transactions!$C:$C,Transactions!$D:$D,A36,Transactions!$C:$C,"&lt;0")),ABS(SUMIFS(Transactions!$C:$C,Transactions!$D:$D,A36,Transactions!$E:$E,$B$1,Transactions!$C:$C,"&lt;0")))</f>
        <v/>
      </c>
      <c r="D36">
        <f>B36-C36</f>
        <v/>
      </c>
      <c r="E36">
        <f>IF(D36&lt;0,"Over Budget","OK")</f>
        <v/>
      </c>
    </row>
    <row r="37">
      <c r="A37" t="inlineStr">
        <is>
          <t>Travel</t>
        </is>
      </c>
      <c r="B37">
        <f>IFERROR(VLOOKUP(A37,Budget!$A:$B,2,FALSE),0)</f>
        <v/>
      </c>
      <c r="C37">
        <f>IF($B$1="All",ABS(SUMIFS(Transactions!$C:$C,Transactions!$D:$D,A37,Transactions!$C:$C,"&lt;0")),ABS(SUMIFS(Transactions!$C:$C,Transactions!$D:$D,A37,Transactions!$E:$E,$B$1,Transactions!$C:$C,"&lt;0")))</f>
        <v/>
      </c>
      <c r="D37">
        <f>B37-C37</f>
        <v/>
      </c>
      <c r="E37">
        <f>IF(D37&lt;0,"Over Budget","OK")</f>
        <v/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8" customWidth="1" min="4" max="4"/>
    <col width="12" customWidth="1" min="5" max="5"/>
  </cols>
  <sheetData>
    <row r="1" ht="18" customHeight="1">
      <c r="A1" s="8" t="inlineStr">
        <is>
          <t>Date</t>
        </is>
      </c>
      <c r="B1" s="8" t="inlineStr">
        <is>
          <t>Description</t>
        </is>
      </c>
      <c r="C1" s="8" t="inlineStr">
        <is>
          <t>Amount</t>
        </is>
      </c>
      <c r="D1" s="8" t="inlineStr">
        <is>
          <t>Category</t>
        </is>
      </c>
      <c r="E1" s="8" t="inlineStr">
        <is>
          <t>Month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Period</t>
        </is>
      </c>
    </row>
    <row r="2">
      <c r="A2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2025-12-24T16:25:19Z</dcterms:created>
  <dcterms:modified xsi:type="dcterms:W3CDTF">2026-06-05T18:18:54Z</dcterms:modified>
  <cp:lastModifiedBy>Rickey Chen</cp:lastModifiedBy>
</cp:coreProperties>
</file>